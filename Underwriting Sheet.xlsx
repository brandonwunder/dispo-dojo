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ive UW" sheetId="1" r:id="rId5"/>
  </sheets>
  <definedNames/>
  <calcPr/>
</workbook>
</file>

<file path=xl/sharedStrings.xml><?xml version="1.0" encoding="utf-8"?>
<sst xmlns="http://schemas.openxmlformats.org/spreadsheetml/2006/main" count="144" uniqueCount="98">
  <si>
    <t>Property Info</t>
  </si>
  <si>
    <t>Seller Net (Traditional Offer)</t>
  </si>
  <si>
    <t>LOI Info</t>
  </si>
  <si>
    <t>Legend</t>
  </si>
  <si>
    <t>Address</t>
  </si>
  <si>
    <t>Asking Price</t>
  </si>
  <si>
    <t>Buyer/Company</t>
  </si>
  <si>
    <t>Inputs</t>
  </si>
  <si>
    <t>Bedroom</t>
  </si>
  <si>
    <t>Closing Cost (8%)</t>
  </si>
  <si>
    <t>Escrow Period (Days)</t>
  </si>
  <si>
    <t>Calculations</t>
  </si>
  <si>
    <t>Bath</t>
  </si>
  <si>
    <t>Seller Net</t>
  </si>
  <si>
    <t>Inspection Period (Days)</t>
  </si>
  <si>
    <t>Fixed</t>
  </si>
  <si>
    <t>Year Built</t>
  </si>
  <si>
    <t>Closing Costs</t>
  </si>
  <si>
    <t>Buyer and Seller Closing Costs</t>
  </si>
  <si>
    <t>Optional</t>
  </si>
  <si>
    <t>Building Sqft</t>
  </si>
  <si>
    <t>Lot size</t>
  </si>
  <si>
    <t>Loan Details</t>
  </si>
  <si>
    <t>Loan Monthly Payment</t>
  </si>
  <si>
    <t>Underwriting</t>
  </si>
  <si>
    <t>Loan Balance</t>
  </si>
  <si>
    <t>Principal</t>
  </si>
  <si>
    <t>Max Entry Fee (10%)</t>
  </si>
  <si>
    <t>Seller Financing/Hybrid?</t>
  </si>
  <si>
    <t>-</t>
  </si>
  <si>
    <t>Escrow Amount</t>
  </si>
  <si>
    <t>Interest</t>
  </si>
  <si>
    <t>Cash to Seller/Agent (~6% entry)</t>
  </si>
  <si>
    <t>Amortized Monthly or Flat Monthly?</t>
  </si>
  <si>
    <t>Down Payment Assistance</t>
  </si>
  <si>
    <t>P&amp;I</t>
  </si>
  <si>
    <t>Balloon On Existing Loan</t>
  </si>
  <si>
    <t>Seller Carryback Amount</t>
  </si>
  <si>
    <t>Solar Balance</t>
  </si>
  <si>
    <t>Taxes/Insurance</t>
  </si>
  <si>
    <t>EMD</t>
  </si>
  <si>
    <t>Flat Monthly Payment</t>
  </si>
  <si>
    <t>Secondary Lien</t>
  </si>
  <si>
    <t>EMD (max)</t>
  </si>
  <si>
    <t>Amortized Years</t>
  </si>
  <si>
    <t>Arrears</t>
  </si>
  <si>
    <t>PITI</t>
  </si>
  <si>
    <t>*Add Other Here*</t>
  </si>
  <si>
    <t>HOA Payment</t>
  </si>
  <si>
    <t>Amortized Monthly Principal Payment</t>
  </si>
  <si>
    <t>Solar Payment</t>
  </si>
  <si>
    <t>Amortized Monthly Interest Payment</t>
  </si>
  <si>
    <t>Interest Rate</t>
  </si>
  <si>
    <t>Balloon</t>
  </si>
  <si>
    <t>Loan Type</t>
  </si>
  <si>
    <t>Interest Amount After Balloon</t>
  </si>
  <si>
    <t>Years Remaining On Loan</t>
  </si>
  <si>
    <t>Total Monthly Payment</t>
  </si>
  <si>
    <t>Entry Fee</t>
  </si>
  <si>
    <t>LTR</t>
  </si>
  <si>
    <t>MTR</t>
  </si>
  <si>
    <t>STR</t>
  </si>
  <si>
    <t>Section 8</t>
  </si>
  <si>
    <t>Cash to Seller</t>
  </si>
  <si>
    <t>Pro Forma Rent</t>
  </si>
  <si>
    <t>Cash to Agent</t>
  </si>
  <si>
    <t>WARCHEST</t>
  </si>
  <si>
    <t>Assignment Fee</t>
  </si>
  <si>
    <t>Property Management</t>
  </si>
  <si>
    <t>Insurance (if not escrowed)</t>
  </si>
  <si>
    <t>Rehab</t>
  </si>
  <si>
    <t>Tax (if not escrowed)</t>
  </si>
  <si>
    <t>Furnishing</t>
  </si>
  <si>
    <t>Internet/Cable</t>
  </si>
  <si>
    <t>Holding Costs (3 months)</t>
  </si>
  <si>
    <t>Electric</t>
  </si>
  <si>
    <t>Marketing</t>
  </si>
  <si>
    <t>Gas</t>
  </si>
  <si>
    <t>Water/Sewer/Trash</t>
  </si>
  <si>
    <t>TC</t>
  </si>
  <si>
    <t>Pest Control</t>
  </si>
  <si>
    <t>Wholesale Entry Fee</t>
  </si>
  <si>
    <t>Landscaping</t>
  </si>
  <si>
    <t>Snow Removal</t>
  </si>
  <si>
    <t xml:space="preserve">Entry If We Buy </t>
  </si>
  <si>
    <t>Security System</t>
  </si>
  <si>
    <t>*No Furniture* Total Entry Fee</t>
  </si>
  <si>
    <t>PML Interest Payment</t>
  </si>
  <si>
    <t>*Furniture* Total Entry Fee</t>
  </si>
  <si>
    <t>PML</t>
  </si>
  <si>
    <t>Amount</t>
  </si>
  <si>
    <t>Wholesale Net Cash Flow</t>
  </si>
  <si>
    <t>Wholesale Cash-on-Cash Return</t>
  </si>
  <si>
    <t>Monthly Interest Only Payment</t>
  </si>
  <si>
    <t>Term (years)</t>
  </si>
  <si>
    <t>*If We Buy* Net Cash Flow</t>
  </si>
  <si>
    <t>Total Interest Earned</t>
  </si>
  <si>
    <t>*If We Buy* Cash-on-Cash Return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</si>
</sst>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00%"/>
  </numFmts>
  <fonts count="4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98CBFE"/>
        <bgColor rgb="FF98CBFE"/>
      </patternFill>
    </fill>
    <fill>
      <patternFill patternType="solid">
        <fgColor rgb="FFFFC000"/>
        <bgColor rgb="FFFFC000"/>
      </patternFill>
    </fill>
    <fill>
      <patternFill patternType="solid">
        <fgColor rgb="FFD9D2E9"/>
        <bgColor rgb="FFD9D2E9"/>
      </patternFill>
    </fill>
    <fill>
      <patternFill patternType="solid">
        <fgColor rgb="FFDAD1E9"/>
        <bgColor rgb="FFDAD1E9"/>
      </patternFill>
    </fill>
    <fill>
      <patternFill patternType="solid">
        <fgColor rgb="FFFFFF00"/>
        <bgColor rgb="FFFFFF00"/>
      </patternFill>
    </fill>
  </fills>
  <borders count="12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ill="1" applyFont="1">
      <alignment horizontal="center" vertical="bottom"/>
    </xf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horizontal="right" vertical="bottom"/>
    </xf>
    <xf borderId="0" fillId="3" fontId="3" numFmtId="0" xfId="0" applyAlignment="1" applyFill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6" fillId="3" fontId="3" numFmtId="164" xfId="0" applyAlignment="1" applyBorder="1" applyFont="1" applyNumberFormat="1">
      <alignment readingOrder="0" vertical="bottom"/>
    </xf>
    <xf borderId="7" fillId="0" fontId="2" numFmtId="0" xfId="0" applyBorder="1" applyFont="1"/>
    <xf borderId="7" fillId="3" fontId="3" numFmtId="0" xfId="0" applyAlignment="1" applyBorder="1" applyFont="1">
      <alignment vertical="bottom"/>
    </xf>
    <xf borderId="6" fillId="0" fontId="2" numFmtId="0" xfId="0" applyBorder="1" applyFont="1"/>
    <xf borderId="5" fillId="3" fontId="1" numFmtId="0" xfId="0" applyAlignment="1" applyBorder="1" applyFont="1">
      <alignment horizontal="center" vertical="bottom"/>
    </xf>
    <xf borderId="8" fillId="4" fontId="3" numFmtId="164" xfId="0" applyAlignment="1" applyBorder="1" applyFill="1" applyFont="1" applyNumberFormat="1">
      <alignment vertical="bottom"/>
    </xf>
    <xf borderId="0" fillId="3" fontId="3" numFmtId="0" xfId="0" applyAlignment="1" applyFont="1">
      <alignment horizontal="right" readingOrder="0" vertical="bottom"/>
    </xf>
    <xf borderId="8" fillId="0" fontId="2" numFmtId="0" xfId="0" applyBorder="1" applyFont="1"/>
    <xf borderId="4" fillId="4" fontId="1" numFmtId="0" xfId="0" applyAlignment="1" applyBorder="1" applyFont="1">
      <alignment horizontal="center" vertical="bottom"/>
    </xf>
    <xf borderId="4" fillId="5" fontId="1" numFmtId="0" xfId="0" applyAlignment="1" applyBorder="1" applyFill="1" applyFont="1">
      <alignment horizontal="center" vertical="bottom"/>
    </xf>
    <xf borderId="4" fillId="0" fontId="3" numFmtId="0" xfId="0" applyAlignment="1" applyBorder="1" applyFont="1">
      <alignment vertical="bottom"/>
    </xf>
    <xf borderId="0" fillId="3" fontId="3" numFmtId="0" xfId="0" applyAlignment="1" applyFont="1">
      <alignment horizontal="right" shrinkToFit="0" vertical="top" wrapText="1"/>
    </xf>
    <xf borderId="4" fillId="6" fontId="1" numFmtId="0" xfId="0" applyAlignment="1" applyBorder="1" applyFill="1" applyFont="1">
      <alignment horizontal="center" vertical="bottom"/>
    </xf>
    <xf borderId="0" fillId="3" fontId="3" numFmtId="3" xfId="0" applyAlignment="1" applyFont="1" applyNumberFormat="1">
      <alignment readingOrder="0" vertical="bottom"/>
    </xf>
    <xf borderId="4" fillId="0" fontId="2" numFmtId="0" xfId="0" applyBorder="1" applyFont="1"/>
    <xf borderId="9" fillId="0" fontId="3" numFmtId="0" xfId="0" applyAlignment="1" applyBorder="1" applyFont="1">
      <alignment horizontal="right" vertical="bottom"/>
    </xf>
    <xf borderId="10" fillId="0" fontId="2" numFmtId="0" xfId="0" applyBorder="1" applyFont="1"/>
    <xf borderId="10" fillId="3" fontId="3" numFmtId="3" xfId="0" applyAlignment="1" applyBorder="1" applyFont="1" applyNumberFormat="1">
      <alignment readingOrder="0" vertical="bottom"/>
    </xf>
    <xf borderId="9" fillId="0" fontId="2" numFmtId="0" xfId="0" applyBorder="1" applyFont="1"/>
    <xf borderId="11" fillId="0" fontId="2" numFmtId="0" xfId="0" applyBorder="1" applyFont="1"/>
    <xf borderId="9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7" fillId="0" fontId="3" numFmtId="0" xfId="0" applyAlignment="1" applyBorder="1" applyFont="1">
      <alignment vertical="bottom"/>
    </xf>
    <xf borderId="8" fillId="3" fontId="3" numFmtId="164" xfId="0" applyAlignment="1" applyBorder="1" applyFont="1" applyNumberFormat="1">
      <alignment readingOrder="0" vertical="bottom"/>
    </xf>
    <xf borderId="8" fillId="3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8" fillId="3" fontId="3" numFmtId="164" xfId="0" applyAlignment="1" applyBorder="1" applyFont="1" applyNumberFormat="1">
      <alignment vertical="bottom"/>
    </xf>
    <xf borderId="8" fillId="3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/>
    </xf>
    <xf borderId="8" fillId="5" fontId="3" numFmtId="0" xfId="0" applyAlignment="1" applyBorder="1" applyFont="1">
      <alignment horizontal="right" vertical="bottom"/>
    </xf>
    <xf borderId="8" fillId="3" fontId="3" numFmtId="10" xfId="0" applyAlignment="1" applyBorder="1" applyFont="1" applyNumberFormat="1">
      <alignment vertical="bottom"/>
    </xf>
    <xf borderId="8" fillId="3" fontId="3" numFmtId="165" xfId="0" applyAlignment="1" applyBorder="1" applyFont="1" applyNumberFormat="1">
      <alignment readingOrder="0" vertical="bottom"/>
    </xf>
    <xf borderId="0" fillId="3" fontId="3" numFmtId="0" xfId="0" applyAlignment="1" applyFont="1">
      <alignment vertical="bottom"/>
    </xf>
    <xf borderId="4" fillId="0" fontId="1" numFmtId="0" xfId="0" applyAlignment="1" applyBorder="1" applyFont="1">
      <alignment horizontal="right" vertical="bottom"/>
    </xf>
    <xf borderId="0" fillId="4" fontId="3" numFmtId="164" xfId="0" applyAlignment="1" applyFont="1" applyNumberFormat="1">
      <alignment vertical="bottom"/>
    </xf>
    <xf borderId="6" fillId="3" fontId="3" numFmtId="164" xfId="0" applyAlignment="1" applyBorder="1" applyFont="1" applyNumberFormat="1">
      <alignment vertical="bottom"/>
    </xf>
    <xf borderId="0" fillId="3" fontId="3" numFmtId="164" xfId="0" applyAlignment="1" applyFont="1" applyNumberFormat="1">
      <alignment readingOrder="0" vertical="bottom"/>
    </xf>
    <xf borderId="5" fillId="0" fontId="3" numFmtId="0" xfId="0" applyAlignment="1" applyBorder="1" applyFont="1">
      <alignment vertical="bottom"/>
    </xf>
    <xf borderId="0" fillId="7" fontId="3" numFmtId="164" xfId="0" applyAlignment="1" applyFill="1" applyFont="1" applyNumberFormat="1">
      <alignment vertical="bottom"/>
    </xf>
    <xf borderId="8" fillId="7" fontId="3" numFmtId="164" xfId="0" applyAlignment="1" applyBorder="1" applyFont="1" applyNumberFormat="1">
      <alignment vertical="bottom"/>
    </xf>
    <xf borderId="8" fillId="8" fontId="3" numFmtId="164" xfId="0" applyAlignment="1" applyBorder="1" applyFill="1" applyFont="1" applyNumberFormat="1">
      <alignment horizontal="right" readingOrder="0" vertical="bottom"/>
    </xf>
    <xf borderId="0" fillId="6" fontId="3" numFmtId="164" xfId="0" applyAlignment="1" applyFont="1" applyNumberFormat="1">
      <alignment vertical="bottom"/>
    </xf>
    <xf borderId="8" fillId="6" fontId="3" numFmtId="164" xfId="0" applyAlignment="1" applyBorder="1" applyFont="1" applyNumberFormat="1">
      <alignment vertical="bottom"/>
    </xf>
    <xf borderId="8" fillId="5" fontId="3" numFmtId="164" xfId="0" applyAlignment="1" applyBorder="1" applyFont="1" applyNumberFormat="1">
      <alignment horizontal="right" vertical="bottom"/>
    </xf>
    <xf borderId="0" fillId="4" fontId="1" numFmtId="164" xfId="0" applyAlignment="1" applyFont="1" applyNumberFormat="1">
      <alignment horizontal="right" vertical="bottom"/>
    </xf>
    <xf borderId="9" fillId="0" fontId="1" numFmtId="0" xfId="0" applyAlignment="1" applyBorder="1" applyFont="1">
      <alignment horizontal="right" vertical="bottom"/>
    </xf>
    <xf borderId="11" fillId="4" fontId="1" numFmtId="164" xfId="0" applyAlignment="1" applyBorder="1" applyFont="1" applyNumberFormat="1">
      <alignment horizontal="right" vertical="bottom"/>
    </xf>
    <xf borderId="4" fillId="0" fontId="1" numFmtId="0" xfId="0" applyAlignment="1" applyBorder="1" applyFont="1">
      <alignment vertical="bottom"/>
    </xf>
    <xf borderId="0" fillId="4" fontId="3" numFmtId="10" xfId="0" applyAlignment="1" applyFont="1" applyNumberFormat="1">
      <alignment vertical="bottom"/>
    </xf>
    <xf borderId="8" fillId="4" fontId="3" numFmtId="10" xfId="0" applyAlignment="1" applyBorder="1" applyFont="1" applyNumberFormat="1">
      <alignment vertical="bottom"/>
    </xf>
    <xf borderId="11" fillId="4" fontId="3" numFmtId="164" xfId="0" applyAlignment="1" applyBorder="1" applyFont="1" applyNumberFormat="1">
      <alignment vertical="bottom"/>
    </xf>
    <xf borderId="9" fillId="0" fontId="1" numFmtId="0" xfId="0" applyAlignment="1" applyBorder="1" applyFont="1">
      <alignment vertical="bottom"/>
    </xf>
    <xf borderId="10" fillId="4" fontId="3" numFmtId="10" xfId="0" applyAlignment="1" applyBorder="1" applyFont="1" applyNumberFormat="1">
      <alignment vertical="bottom"/>
    </xf>
    <xf borderId="11" fillId="4" fontId="3" numFmtId="10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4.25"/>
    <col customWidth="1" min="7" max="7" width="13.88"/>
    <col customWidth="1" min="13" max="13" width="13.88"/>
    <col hidden="1" min="16" max="26" width="12.63"/>
  </cols>
  <sheetData>
    <row r="1">
      <c r="A1" s="1" t="s">
        <v>0</v>
      </c>
      <c r="B1" s="2"/>
      <c r="C1" s="2"/>
      <c r="D1" s="2"/>
      <c r="E1" s="3"/>
      <c r="F1" s="1" t="s">
        <v>1</v>
      </c>
      <c r="G1" s="3"/>
      <c r="H1" s="1" t="s">
        <v>2</v>
      </c>
      <c r="I1" s="2"/>
      <c r="J1" s="2"/>
      <c r="K1" s="2"/>
      <c r="L1" s="2"/>
      <c r="M1" s="3"/>
      <c r="N1" s="4" t="s">
        <v>3</v>
      </c>
      <c r="O1" s="3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4</v>
      </c>
      <c r="C2" s="7"/>
      <c r="F2" s="8" t="s">
        <v>5</v>
      </c>
      <c r="G2" s="9"/>
      <c r="H2" s="8" t="s">
        <v>6</v>
      </c>
      <c r="I2" s="10"/>
      <c r="J2" s="11"/>
      <c r="K2" s="10"/>
      <c r="L2" s="10"/>
      <c r="M2" s="12"/>
      <c r="N2" s="13" t="s">
        <v>7</v>
      </c>
      <c r="O2" s="12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8</v>
      </c>
      <c r="C3" s="7"/>
      <c r="F3" s="6" t="s">
        <v>9</v>
      </c>
      <c r="G3" s="14" t="str">
        <f>if(G2="","",G2*0.08)</f>
        <v/>
      </c>
      <c r="H3" s="6" t="s">
        <v>10</v>
      </c>
      <c r="J3" s="15">
        <v>28.0</v>
      </c>
      <c r="M3" s="16"/>
      <c r="N3" s="17" t="s">
        <v>11</v>
      </c>
      <c r="O3" s="16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12</v>
      </c>
      <c r="C4" s="7"/>
      <c r="F4" s="6" t="s">
        <v>13</v>
      </c>
      <c r="G4" s="14" t="str">
        <f>if(G2="","",G2-G3-C9)</f>
        <v/>
      </c>
      <c r="H4" s="6" t="s">
        <v>14</v>
      </c>
      <c r="J4" s="15">
        <v>8.0</v>
      </c>
      <c r="M4" s="16"/>
      <c r="N4" s="18" t="s">
        <v>15</v>
      </c>
      <c r="O4" s="16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16</v>
      </c>
      <c r="C5" s="7"/>
      <c r="F5" s="19"/>
      <c r="G5" s="16"/>
      <c r="H5" s="6" t="s">
        <v>17</v>
      </c>
      <c r="J5" s="20" t="s">
        <v>18</v>
      </c>
      <c r="M5" s="16"/>
      <c r="N5" s="21" t="s">
        <v>19</v>
      </c>
      <c r="O5" s="16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20</v>
      </c>
      <c r="C6" s="22"/>
      <c r="F6" s="23"/>
      <c r="G6" s="16"/>
      <c r="H6" s="19"/>
      <c r="N6" s="19"/>
      <c r="O6" s="16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4" t="s">
        <v>21</v>
      </c>
      <c r="B7" s="25"/>
      <c r="C7" s="26"/>
      <c r="D7" s="25"/>
      <c r="E7" s="25"/>
      <c r="F7" s="27"/>
      <c r="G7" s="28"/>
      <c r="H7" s="23"/>
      <c r="N7" s="27"/>
      <c r="O7" s="28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9" t="s">
        <v>22</v>
      </c>
      <c r="B8" s="25"/>
      <c r="C8" s="28"/>
      <c r="D8" s="1" t="s">
        <v>23</v>
      </c>
      <c r="E8" s="2"/>
      <c r="F8" s="3"/>
      <c r="G8" s="30" t="s">
        <v>24</v>
      </c>
      <c r="H8" s="2"/>
      <c r="I8" s="2"/>
      <c r="J8" s="2"/>
      <c r="K8" s="2"/>
      <c r="L8" s="2"/>
      <c r="M8" s="3"/>
      <c r="N8" s="31"/>
      <c r="O8" s="10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 t="s">
        <v>25</v>
      </c>
      <c r="B9" s="10"/>
      <c r="C9" s="9"/>
      <c r="D9" s="6" t="s">
        <v>26</v>
      </c>
      <c r="F9" s="32"/>
      <c r="G9" s="6" t="s">
        <v>27</v>
      </c>
      <c r="I9" s="14" t="str">
        <f>if(G2="","",G2*0.1)</f>
        <v/>
      </c>
      <c r="J9" s="6" t="s">
        <v>28</v>
      </c>
      <c r="M9" s="33" t="s">
        <v>29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30</v>
      </c>
      <c r="C10" s="32"/>
      <c r="D10" s="6" t="s">
        <v>31</v>
      </c>
      <c r="F10" s="32"/>
      <c r="G10" s="6" t="s">
        <v>32</v>
      </c>
      <c r="I10" s="14" t="str">
        <f>if(G2="","",0.1*G2-11000-C24)</f>
        <v/>
      </c>
      <c r="J10" s="34" t="s">
        <v>33</v>
      </c>
      <c r="M10" s="33" t="s">
        <v>29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34</v>
      </c>
      <c r="C11" s="35"/>
      <c r="D11" s="6" t="s">
        <v>35</v>
      </c>
      <c r="F11" s="14" t="str">
        <f>if(G2="","",F9+F10)</f>
        <v/>
      </c>
      <c r="G11" s="6" t="s">
        <v>36</v>
      </c>
      <c r="I11" s="36"/>
      <c r="J11" s="6" t="s">
        <v>37</v>
      </c>
      <c r="M11" s="3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38</v>
      </c>
      <c r="C12" s="35"/>
      <c r="D12" s="37" t="s">
        <v>39</v>
      </c>
      <c r="F12" s="32"/>
      <c r="G12" s="6" t="s">
        <v>40</v>
      </c>
      <c r="I12" s="38">
        <v>100.0</v>
      </c>
      <c r="J12" s="6" t="s">
        <v>41</v>
      </c>
      <c r="M12" s="3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42</v>
      </c>
      <c r="C13" s="35"/>
      <c r="D13" s="23"/>
      <c r="F13" s="16"/>
      <c r="G13" s="6" t="s">
        <v>43</v>
      </c>
      <c r="I13" s="14" t="str">
        <f>if(G2="","",G2*0.01)</f>
        <v/>
      </c>
      <c r="J13" s="6" t="s">
        <v>44</v>
      </c>
      <c r="M13" s="36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45</v>
      </c>
      <c r="C14" s="32"/>
      <c r="D14" s="6" t="s">
        <v>46</v>
      </c>
      <c r="F14" s="14" t="str">
        <f>if(G2="","",F11+F12+F13)</f>
        <v/>
      </c>
      <c r="G14" s="19"/>
      <c r="I14" s="16"/>
      <c r="J14" s="6" t="s">
        <v>31</v>
      </c>
      <c r="M14" s="39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47</v>
      </c>
      <c r="C15" s="35"/>
      <c r="D15" s="6" t="s">
        <v>48</v>
      </c>
      <c r="F15" s="35"/>
      <c r="G15" s="23"/>
      <c r="I15" s="16"/>
      <c r="J15" s="6" t="s">
        <v>49</v>
      </c>
      <c r="M15" s="14" t="str">
        <f>if(OR(M10="Flat",M10="-"), "", PPMT(M14/12, 1, M13*12, -M11))</f>
        <v/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47</v>
      </c>
      <c r="C16" s="35"/>
      <c r="D16" s="6" t="s">
        <v>50</v>
      </c>
      <c r="F16" s="35"/>
      <c r="G16" s="23"/>
      <c r="I16" s="16"/>
      <c r="J16" s="6" t="s">
        <v>51</v>
      </c>
      <c r="M16" s="14" t="str">
        <f>if(OR(M10="Flat",M10="-"), "", IPMT(M14/12, 1, M13*12, -M11))</f>
        <v/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52</v>
      </c>
      <c r="C17" s="40"/>
      <c r="D17" s="6" t="s">
        <v>47</v>
      </c>
      <c r="F17" s="35"/>
      <c r="G17" s="23"/>
      <c r="I17" s="16"/>
      <c r="J17" s="6" t="s">
        <v>53</v>
      </c>
      <c r="M17" s="36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54</v>
      </c>
      <c r="C18" s="41" t="s">
        <v>29</v>
      </c>
      <c r="D18" s="6" t="s">
        <v>47</v>
      </c>
      <c r="F18" s="35"/>
      <c r="G18" s="23"/>
      <c r="I18" s="16"/>
      <c r="J18" s="6" t="s">
        <v>55</v>
      </c>
      <c r="M18" s="14" t="str">
        <f>if(OR(M10="Flat",M10="-",M17=""), "", ABS(CUMIPMT(M14/12, M13*12, M11, 1, M17*12, 0)))
</f>
        <v/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56</v>
      </c>
      <c r="C19" s="36"/>
      <c r="D19" s="42" t="s">
        <v>57</v>
      </c>
      <c r="F19" s="43" t="str">
        <f>if(G2="","",F14+F15+F16+F17+F18)</f>
        <v/>
      </c>
      <c r="G19" s="27"/>
      <c r="H19" s="25"/>
      <c r="I19" s="28"/>
      <c r="J19" s="42" t="s">
        <v>57</v>
      </c>
      <c r="M19" s="14" t="str">
        <f>if(M10="Amortize", M15+M16, M12)</f>
        <v/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 t="s">
        <v>58</v>
      </c>
      <c r="B20" s="2"/>
      <c r="C20" s="3"/>
      <c r="D20" s="1" t="s">
        <v>59</v>
      </c>
      <c r="E20" s="2"/>
      <c r="F20" s="3"/>
      <c r="G20" s="30" t="s">
        <v>60</v>
      </c>
      <c r="H20" s="2"/>
      <c r="I20" s="3"/>
      <c r="J20" s="1" t="s">
        <v>61</v>
      </c>
      <c r="K20" s="2"/>
      <c r="L20" s="3"/>
      <c r="M20" s="1" t="s">
        <v>62</v>
      </c>
      <c r="N20" s="2"/>
      <c r="O20" s="3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8" t="s">
        <v>63</v>
      </c>
      <c r="B21" s="10"/>
      <c r="C21" s="44"/>
      <c r="D21" s="19" t="s">
        <v>64</v>
      </c>
      <c r="F21" s="45"/>
      <c r="G21" s="46" t="s">
        <v>64</v>
      </c>
      <c r="H21" s="10"/>
      <c r="I21" s="9"/>
      <c r="J21" s="46" t="s">
        <v>64</v>
      </c>
      <c r="K21" s="10"/>
      <c r="L21" s="9"/>
      <c r="M21" s="46" t="s">
        <v>64</v>
      </c>
      <c r="N21" s="10"/>
      <c r="O21" s="9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65</v>
      </c>
      <c r="C22" s="35"/>
      <c r="D22" s="19" t="s">
        <v>66</v>
      </c>
      <c r="F22" s="47"/>
      <c r="G22" s="19" t="s">
        <v>66</v>
      </c>
      <c r="I22" s="48"/>
      <c r="J22" s="5" t="s">
        <v>66</v>
      </c>
      <c r="L22" s="48"/>
      <c r="M22" s="19" t="s">
        <v>66</v>
      </c>
      <c r="O22" s="48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67</v>
      </c>
      <c r="C23" s="49">
        <v>0.0</v>
      </c>
      <c r="D23" s="19" t="s">
        <v>68</v>
      </c>
      <c r="F23" s="50"/>
      <c r="G23" s="19" t="s">
        <v>68</v>
      </c>
      <c r="I23" s="51"/>
      <c r="J23" s="5" t="s">
        <v>68</v>
      </c>
      <c r="L23" s="51"/>
      <c r="M23" s="19" t="s">
        <v>68</v>
      </c>
      <c r="O23" s="51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45</v>
      </c>
      <c r="C24" s="35" t="str">
        <f>C14</f>
        <v/>
      </c>
      <c r="D24" s="19" t="s">
        <v>69</v>
      </c>
      <c r="F24" s="50"/>
      <c r="G24" s="19" t="s">
        <v>69</v>
      </c>
      <c r="I24" s="51"/>
      <c r="J24" s="5" t="s">
        <v>69</v>
      </c>
      <c r="L24" s="51"/>
      <c r="M24" s="19" t="s">
        <v>69</v>
      </c>
      <c r="O24" s="51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70</v>
      </c>
      <c r="C25" s="35"/>
      <c r="D25" s="19" t="s">
        <v>71</v>
      </c>
      <c r="F25" s="50"/>
      <c r="G25" s="19" t="s">
        <v>71</v>
      </c>
      <c r="I25" s="51"/>
      <c r="J25" s="5" t="s">
        <v>71</v>
      </c>
      <c r="L25" s="51"/>
      <c r="M25" s="19" t="s">
        <v>71</v>
      </c>
      <c r="O25" s="51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72</v>
      </c>
      <c r="C26" s="35"/>
      <c r="D26" s="19"/>
      <c r="F26" s="16"/>
      <c r="G26" s="19" t="s">
        <v>73</v>
      </c>
      <c r="I26" s="51"/>
      <c r="J26" s="5" t="s">
        <v>73</v>
      </c>
      <c r="L26" s="51"/>
      <c r="M26" s="19"/>
      <c r="O26" s="16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74</v>
      </c>
      <c r="C27" s="14" t="str">
        <f>if(G2="","",(F19+M19)*3)</f>
        <v/>
      </c>
      <c r="D27" s="23"/>
      <c r="F27" s="16"/>
      <c r="G27" s="19" t="s">
        <v>75</v>
      </c>
      <c r="I27" s="51"/>
      <c r="J27" s="5" t="s">
        <v>75</v>
      </c>
      <c r="L27" s="51"/>
      <c r="M27" s="23"/>
      <c r="O27" s="16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76</v>
      </c>
      <c r="C28" s="52">
        <v>500.0</v>
      </c>
      <c r="D28" s="23"/>
      <c r="F28" s="16"/>
      <c r="G28" s="19" t="s">
        <v>77</v>
      </c>
      <c r="I28" s="51"/>
      <c r="J28" s="5" t="s">
        <v>77</v>
      </c>
      <c r="L28" s="51"/>
      <c r="M28" s="23"/>
      <c r="O28" s="16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17</v>
      </c>
      <c r="C29" s="52">
        <v>3500.0</v>
      </c>
      <c r="D29" s="23"/>
      <c r="F29" s="16"/>
      <c r="G29" s="19" t="s">
        <v>78</v>
      </c>
      <c r="I29" s="51"/>
      <c r="J29" s="5" t="s">
        <v>78</v>
      </c>
      <c r="L29" s="51"/>
      <c r="M29" s="23"/>
      <c r="O29" s="16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 t="s">
        <v>79</v>
      </c>
      <c r="C30" s="52">
        <v>1000.0</v>
      </c>
      <c r="D30" s="23"/>
      <c r="F30" s="16"/>
      <c r="G30" s="19" t="s">
        <v>80</v>
      </c>
      <c r="I30" s="51"/>
      <c r="J30" s="5" t="s">
        <v>80</v>
      </c>
      <c r="L30" s="51"/>
      <c r="M30" s="23"/>
      <c r="O30" s="16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2" t="s">
        <v>81</v>
      </c>
      <c r="C31" s="43" t="str">
        <f>if(G2="","",C21+C22+C23+C24)</f>
        <v/>
      </c>
      <c r="D31" s="23"/>
      <c r="F31" s="16"/>
      <c r="G31" s="19" t="s">
        <v>82</v>
      </c>
      <c r="I31" s="51"/>
      <c r="J31" s="5" t="s">
        <v>82</v>
      </c>
      <c r="L31" s="51"/>
      <c r="M31" s="23"/>
      <c r="O31" s="16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9"/>
      <c r="D32" s="23"/>
      <c r="F32" s="16"/>
      <c r="G32" s="19" t="s">
        <v>83</v>
      </c>
      <c r="I32" s="51"/>
      <c r="J32" s="5" t="s">
        <v>83</v>
      </c>
      <c r="L32" s="50"/>
      <c r="M32" s="23"/>
      <c r="O32" s="16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" t="s">
        <v>84</v>
      </c>
      <c r="B33" s="2"/>
      <c r="C33" s="3"/>
      <c r="D33" s="23"/>
      <c r="F33" s="16"/>
      <c r="G33" s="19" t="s">
        <v>85</v>
      </c>
      <c r="I33" s="51"/>
      <c r="J33" s="5" t="s">
        <v>85</v>
      </c>
      <c r="L33" s="50"/>
      <c r="M33" s="23"/>
      <c r="O33" s="16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2" t="s">
        <v>86</v>
      </c>
      <c r="C34" s="53">
        <f>C21+C22+C23+C24+C25+C27+C28+C29+C30</f>
        <v>5000</v>
      </c>
      <c r="D34" s="23"/>
      <c r="F34" s="16"/>
      <c r="G34" s="19" t="s">
        <v>87</v>
      </c>
      <c r="I34" s="14" t="str">
        <f>C39</f>
        <v/>
      </c>
      <c r="J34" s="19" t="s">
        <v>87</v>
      </c>
      <c r="L34" s="14" t="str">
        <f>C39</f>
        <v/>
      </c>
      <c r="M34" s="23"/>
      <c r="O34" s="16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4" t="s">
        <v>88</v>
      </c>
      <c r="B35" s="25"/>
      <c r="C35" s="55">
        <f>C21+C22+C23+C24+C25+C26+C27+C28+C29+C30</f>
        <v>5000</v>
      </c>
      <c r="D35" s="23"/>
      <c r="F35" s="16"/>
      <c r="G35" s="5"/>
      <c r="J35" s="19"/>
      <c r="M35" s="23"/>
      <c r="O35" s="16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" t="s">
        <v>89</v>
      </c>
      <c r="B36" s="2"/>
      <c r="C36" s="3"/>
      <c r="D36" s="23"/>
      <c r="F36" s="16"/>
      <c r="J36" s="23"/>
      <c r="M36" s="23"/>
      <c r="O36" s="16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 t="s">
        <v>90</v>
      </c>
      <c r="C37" s="35"/>
      <c r="D37" s="56" t="s">
        <v>91</v>
      </c>
      <c r="F37" s="43" t="str">
        <f>if(F21="","",(F21-F24-F25)-(F19+M19))</f>
        <v/>
      </c>
      <c r="G37" s="56" t="s">
        <v>91</v>
      </c>
      <c r="I37" s="14" t="str">
        <f>if(I21="","",(I21-I24-I25)-(F19+M19))</f>
        <v/>
      </c>
      <c r="J37" s="56" t="s">
        <v>91</v>
      </c>
      <c r="L37" s="43" t="str">
        <f>if(L21="","",(L21-L24-L25)-(F19+M19))</f>
        <v/>
      </c>
      <c r="M37" s="56" t="s">
        <v>91</v>
      </c>
      <c r="O37" s="14" t="str">
        <f>if(O21="","",(O21-O24-O25)-(F19+M19))</f>
        <v/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 t="s">
        <v>31</v>
      </c>
      <c r="C38" s="39"/>
      <c r="D38" s="56" t="s">
        <v>92</v>
      </c>
      <c r="F38" s="57" t="str">
        <f>if(F21="","",ROUND((F37*12)/C31,4))</f>
        <v/>
      </c>
      <c r="G38" s="56" t="s">
        <v>92</v>
      </c>
      <c r="I38" s="58" t="str">
        <f>if(I21="","",ROUND((I37*12)/C31,4))</f>
        <v/>
      </c>
      <c r="J38" s="56" t="s">
        <v>92</v>
      </c>
      <c r="L38" s="58" t="str">
        <f>if(L21="","",ROUND((L37*12)/C31,4))</f>
        <v/>
      </c>
      <c r="M38" s="56" t="s">
        <v>92</v>
      </c>
      <c r="O38" s="58" t="str">
        <f>if(O21="","",ROUND((O37*12)/C31,4))</f>
        <v/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 t="s">
        <v>93</v>
      </c>
      <c r="C39" s="43" t="str">
        <f>if(C37="","",(C37*C38)/12)</f>
        <v/>
      </c>
      <c r="D39" s="19"/>
      <c r="F39" s="16"/>
      <c r="G39" s="19"/>
      <c r="I39" s="16"/>
      <c r="J39" s="19"/>
      <c r="L39" s="16"/>
      <c r="M39" s="19"/>
      <c r="O39" s="16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 t="s">
        <v>94</v>
      </c>
      <c r="C40" s="36"/>
      <c r="D40" s="56" t="s">
        <v>95</v>
      </c>
      <c r="F40" s="43" t="str">
        <f>if(F21="","",(F21-sum(F22:F25))-(F19+M19))</f>
        <v/>
      </c>
      <c r="G40" s="56" t="s">
        <v>95</v>
      </c>
      <c r="I40" s="14" t="str">
        <f>if(I21="","",(I21-sum(I22:I34))-(F19+M19))</f>
        <v/>
      </c>
      <c r="J40" s="56" t="s">
        <v>95</v>
      </c>
      <c r="L40" s="43" t="str">
        <f>if(L21="","",(L21-Sum(L22:L34))-(F19+M19))</f>
        <v/>
      </c>
      <c r="M40" s="56" t="s">
        <v>95</v>
      </c>
      <c r="O40" s="14" t="str">
        <f>if(O21="","",(O21-sum(O22:O25))-(F19+M19))</f>
        <v/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4" t="s">
        <v>96</v>
      </c>
      <c r="B41" s="25"/>
      <c r="C41" s="59" t="str">
        <f>if(C37="","",(C39*12)*C40)</f>
        <v/>
      </c>
      <c r="D41" s="60" t="s">
        <v>97</v>
      </c>
      <c r="E41" s="25"/>
      <c r="F41" s="61" t="str">
        <f>if(F21="","",(F40*12)/C34)</f>
        <v/>
      </c>
      <c r="G41" s="60" t="s">
        <v>97</v>
      </c>
      <c r="H41" s="25"/>
      <c r="I41" s="62" t="str">
        <f>if(I21="","",(I40*12)/C35)</f>
        <v/>
      </c>
      <c r="J41" s="60" t="s">
        <v>97</v>
      </c>
      <c r="K41" s="25"/>
      <c r="L41" s="62" t="str">
        <f>if(L21="","",(L40*12)/C35)</f>
        <v/>
      </c>
      <c r="M41" s="60" t="s">
        <v>97</v>
      </c>
      <c r="N41" s="25"/>
      <c r="O41" s="62" t="str">
        <f>if(O21="","",(O40*12)/C34)</f>
        <v/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idden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idden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idden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idden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idden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idden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idden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idden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idden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idden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idden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idden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idden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idden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idden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idden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idden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idden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idden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idden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idden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idden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idden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idden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idden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idden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idden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idden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idden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idden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idden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idden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idden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idden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idden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idden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idden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idden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idden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idden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idden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idden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idden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idden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idden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idden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idden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idden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idden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idden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idden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idden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idden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idden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idden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idden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idden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idden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idden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idden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idden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idden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idden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idden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idden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idden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idden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idden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idden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idden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idden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idden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idden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idden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idden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idden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idden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idden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idden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idden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idden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idden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idden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idden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idden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idden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idden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idden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idden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idden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idden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idden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idden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idden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idden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idden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idden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idden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idden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idden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idden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idden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idden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idden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idden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idden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idden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idden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idden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idden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idden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idden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idden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idden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idden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idden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idden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idden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idden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idden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idden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idden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idden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idden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idden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idden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idden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idden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idden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idden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idden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idden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idden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idden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idden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idden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idden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idden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idden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idden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idden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idden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idden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idden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idden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idden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idden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idden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idden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idden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idden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idden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idden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idden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idden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idden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idden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idden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idden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idden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idden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idden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idden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idden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idden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idden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idden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idden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idden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idden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idden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idden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idden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idden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idden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idden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idden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idden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idden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idden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idden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idden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idden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idden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idden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idden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idden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idden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idden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idden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idden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idden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idden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idden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idden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idden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idden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idden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idden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idden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idden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idden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idden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idden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idden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idden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idden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idden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idden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idden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idden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idden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idden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idden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idden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idden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idden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idden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idden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idden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idden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idden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idden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idden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idden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idden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idden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idden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idden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idden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idden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idden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idden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idden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idden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idden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idden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idden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idden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idden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idden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idden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idden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idden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idden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idden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idden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idden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idden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idden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idden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idden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idden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idden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idden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idden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idden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idden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idden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idden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idden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idden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idden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idden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idden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idden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idden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idden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idden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idden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idden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idden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idden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idden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idden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idden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idden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idden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idden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idden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idden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idden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idden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idden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idden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idden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idden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idden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idden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idden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idden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idden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idden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idden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idden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idden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idden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idden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idden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idden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idden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idden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idden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idden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idden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idden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idden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idden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idden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idden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idden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idden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idden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idden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idden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idden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idden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idden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idden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idden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idden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idden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idden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idden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idden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idden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idden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idden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idden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idden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idden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idden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idden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idden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idden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idden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idden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idden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idden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idden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idden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idden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idden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idden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idden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idden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idden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idden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idden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idden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idden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idden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idden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idden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idden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idden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idden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idden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idden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idden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idden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idden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idden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idden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idden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idden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idden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idden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idden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idden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idden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idden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idden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idden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idden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idden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idden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idden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idden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idden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idden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idden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idden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idden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idden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idden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idden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idden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idden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idden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idden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idden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idden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idden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idden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idden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idden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idden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idden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idden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idden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idden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idden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idden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idden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idden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idden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idden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idden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idden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idden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idden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idden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idden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idden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idden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idden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idden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idden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idden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idden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idden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idden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idden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idden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idden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idden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idden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idden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idden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idden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idden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idden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idden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idden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idden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idden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idden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idden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idden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idden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idden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idden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idden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idden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idden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idden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idden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idden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idden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idden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idden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idden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idden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idden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idden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idden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idden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idden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idden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idden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idden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idden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idden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idden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idden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idden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idden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idden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idden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idden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idden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idden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idden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idden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idden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idden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idden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idden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idden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idden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idden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idden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idden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idden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idden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idden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idden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idden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idden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idden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idden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idden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idden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idden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idden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idden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idden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idden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idden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idden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idden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idden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idden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idden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idden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idden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idden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idden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idden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idden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idden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idden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idden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idden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idden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idden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idden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idden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idden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idden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idden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idden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idden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idden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idden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idden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idden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idden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idden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idden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idden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idden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idden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idden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idden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idden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idden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idden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idden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idden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idden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idden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idden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idden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idden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idden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idden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idden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idden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idden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idden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idden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idden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idden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idden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idden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idden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idden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idden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idden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idden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idden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idden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idden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idden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idden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idden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idden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idden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idden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idden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idden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idden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idden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idden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idden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idden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idden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idden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idden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idden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idden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idden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idden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idden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idden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idden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idden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idden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idden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idden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idden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idden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idden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idden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idden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idden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idden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idden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idden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idden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idden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idden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idden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idden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idden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idden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idden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idden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idden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idden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idden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idden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idden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idden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idden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idden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idden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idden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idden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idden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idden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idden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idden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idden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idden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idden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idden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idden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idden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idden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idden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idden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idden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idden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idden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idden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idden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idden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idden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idden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idden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idden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idden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idden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idden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idden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idden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idden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idden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idden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idden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idden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idden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idden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idden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idden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idden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idden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idden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idden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idden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idden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idden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idden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idden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idden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idden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idden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idden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idden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idden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idden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idden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idden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idden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idden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idden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idden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idden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idden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idden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idden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idden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idden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idden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idden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idden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idden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idden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idden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idden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idden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idden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idden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idden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idden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idden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idden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idden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idden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idden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idden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idden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idden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idden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idden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idden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idden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idden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idden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idden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idden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idden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idden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idden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idden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idden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idden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idden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idden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idden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idden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idden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idden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idden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idden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idden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idden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idden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idden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idden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idden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idden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idden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idden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idden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idden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idden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idden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idden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idden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idden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idden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idden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idden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idden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idden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idden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idden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idden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idden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idden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idden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idden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idden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idden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idden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idden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idden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idden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idden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idden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idden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idden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idden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idden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idden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idden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idden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idden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idden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idden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idden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idden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idden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idden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idden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idden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idden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idden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idden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idden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idden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idden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idden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idden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idden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idden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idden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idden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idden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idden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idden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idden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idden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idden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idden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idden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idden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idden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idden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idden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idden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idden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idden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idden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idden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idden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idden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idden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idden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idden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idden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idden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idden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idden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idden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idden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idden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idden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idden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idden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idden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idden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idden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idden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idden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idden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idden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idden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idden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idden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idden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idden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idden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idden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idden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idden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idden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idden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idden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idden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idden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idden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idden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idden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idden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idden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idden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idden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idden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idden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idden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idden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idden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idden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idden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idden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idden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idden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idden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idden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idden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idden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idden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idden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idden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idden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idden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idden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idden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idden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idden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idden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idden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idden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idden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idden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idden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idden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idden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idden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idden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idden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idden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idden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idden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idden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idden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idden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idden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idden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idden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idden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idden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idden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idden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idden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idden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idden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idden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idden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idden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idden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idden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idden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idden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idden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idden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idden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idden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idden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idden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idden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idden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idden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idden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idden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idden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idden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idden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idden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idden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idden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idden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idden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idden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idden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idden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idden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idden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idden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idden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idden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idden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idden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idden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idden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idden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idden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idden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idden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idden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idden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idden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idden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idden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idden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idden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idden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idden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idden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idden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idden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62">
    <mergeCell ref="D10:E10"/>
    <mergeCell ref="D11:E11"/>
    <mergeCell ref="A7:B7"/>
    <mergeCell ref="A8:C8"/>
    <mergeCell ref="D8:F8"/>
    <mergeCell ref="A9:B9"/>
    <mergeCell ref="D9:E9"/>
    <mergeCell ref="A10:B10"/>
    <mergeCell ref="A11:B11"/>
    <mergeCell ref="G11:H11"/>
    <mergeCell ref="G12:H12"/>
    <mergeCell ref="J12:L12"/>
    <mergeCell ref="J13:L13"/>
    <mergeCell ref="G9:H9"/>
    <mergeCell ref="G10:H10"/>
    <mergeCell ref="J10:L10"/>
    <mergeCell ref="J11:L11"/>
    <mergeCell ref="D12:E13"/>
    <mergeCell ref="F12:F13"/>
    <mergeCell ref="G13:H13"/>
    <mergeCell ref="J2:M2"/>
    <mergeCell ref="N2:O2"/>
    <mergeCell ref="A1:E1"/>
    <mergeCell ref="F1:G1"/>
    <mergeCell ref="H1:M1"/>
    <mergeCell ref="N1:O1"/>
    <mergeCell ref="A2:B2"/>
    <mergeCell ref="C2:E2"/>
    <mergeCell ref="H2:I2"/>
    <mergeCell ref="A3:B3"/>
    <mergeCell ref="C3:E3"/>
    <mergeCell ref="H3:I3"/>
    <mergeCell ref="J3:M3"/>
    <mergeCell ref="N3:O3"/>
    <mergeCell ref="C4:E4"/>
    <mergeCell ref="N4:O4"/>
    <mergeCell ref="A4:B4"/>
    <mergeCell ref="A5:B5"/>
    <mergeCell ref="C5:E5"/>
    <mergeCell ref="F5:G7"/>
    <mergeCell ref="A6:B6"/>
    <mergeCell ref="C6:E6"/>
    <mergeCell ref="C7:E7"/>
    <mergeCell ref="N6:O7"/>
    <mergeCell ref="N8:O19"/>
    <mergeCell ref="M20:O20"/>
    <mergeCell ref="M21:N21"/>
    <mergeCell ref="M22:N22"/>
    <mergeCell ref="M23:N23"/>
    <mergeCell ref="M24:N24"/>
    <mergeCell ref="M25:N25"/>
    <mergeCell ref="H4:I4"/>
    <mergeCell ref="J4:M4"/>
    <mergeCell ref="H5:I5"/>
    <mergeCell ref="J5:M5"/>
    <mergeCell ref="N5:O5"/>
    <mergeCell ref="H6:M7"/>
    <mergeCell ref="G8:M8"/>
    <mergeCell ref="J9:L9"/>
    <mergeCell ref="J21:K21"/>
    <mergeCell ref="J22:K22"/>
    <mergeCell ref="J23:K23"/>
    <mergeCell ref="J24:K24"/>
    <mergeCell ref="J25:K25"/>
    <mergeCell ref="J26:K26"/>
    <mergeCell ref="J14:L14"/>
    <mergeCell ref="J15:L15"/>
    <mergeCell ref="J16:L16"/>
    <mergeCell ref="J17:L17"/>
    <mergeCell ref="J18:L18"/>
    <mergeCell ref="J19:L19"/>
    <mergeCell ref="J20:L20"/>
    <mergeCell ref="A19:B19"/>
    <mergeCell ref="D19:E19"/>
    <mergeCell ref="A20:C20"/>
    <mergeCell ref="D20:F20"/>
    <mergeCell ref="G20:I20"/>
    <mergeCell ref="D21:E21"/>
    <mergeCell ref="G21:H21"/>
    <mergeCell ref="A21:B21"/>
    <mergeCell ref="A22:B22"/>
    <mergeCell ref="D22:E22"/>
    <mergeCell ref="G22:H22"/>
    <mergeCell ref="A23:B23"/>
    <mergeCell ref="G23:H23"/>
    <mergeCell ref="G24:H24"/>
    <mergeCell ref="G30:H30"/>
    <mergeCell ref="J30:K30"/>
    <mergeCell ref="G31:H31"/>
    <mergeCell ref="J31:K31"/>
    <mergeCell ref="G32:H32"/>
    <mergeCell ref="J32:K32"/>
    <mergeCell ref="G33:H33"/>
    <mergeCell ref="J33:K33"/>
    <mergeCell ref="G34:H34"/>
    <mergeCell ref="J34:K34"/>
    <mergeCell ref="G35:I36"/>
    <mergeCell ref="J35:L36"/>
    <mergeCell ref="M37:N37"/>
    <mergeCell ref="M38:N38"/>
    <mergeCell ref="J39:L39"/>
    <mergeCell ref="M39:O39"/>
    <mergeCell ref="M40:N40"/>
    <mergeCell ref="M41:N41"/>
    <mergeCell ref="G25:H25"/>
    <mergeCell ref="G26:H26"/>
    <mergeCell ref="M26:O36"/>
    <mergeCell ref="G27:H27"/>
    <mergeCell ref="J27:K27"/>
    <mergeCell ref="G28:H28"/>
    <mergeCell ref="G29:H29"/>
    <mergeCell ref="A38:B38"/>
    <mergeCell ref="A39:B39"/>
    <mergeCell ref="A40:B40"/>
    <mergeCell ref="A41:B41"/>
    <mergeCell ref="A31:B31"/>
    <mergeCell ref="A32:C32"/>
    <mergeCell ref="A33:C33"/>
    <mergeCell ref="A34:B34"/>
    <mergeCell ref="A35:B35"/>
    <mergeCell ref="A36:C36"/>
    <mergeCell ref="A37:B37"/>
    <mergeCell ref="D15:E15"/>
    <mergeCell ref="D16:E16"/>
    <mergeCell ref="A17:B17"/>
    <mergeCell ref="D17:E17"/>
    <mergeCell ref="A18:B18"/>
    <mergeCell ref="D18:E18"/>
    <mergeCell ref="A12:B12"/>
    <mergeCell ref="A13:B13"/>
    <mergeCell ref="A14:B14"/>
    <mergeCell ref="D14:E14"/>
    <mergeCell ref="G14:I19"/>
    <mergeCell ref="A15:B15"/>
    <mergeCell ref="A16:B16"/>
    <mergeCell ref="J28:K28"/>
    <mergeCell ref="J29:K29"/>
    <mergeCell ref="J37:K37"/>
    <mergeCell ref="J38:K38"/>
    <mergeCell ref="J40:K40"/>
    <mergeCell ref="J41:K41"/>
    <mergeCell ref="A24:B24"/>
    <mergeCell ref="A25:B25"/>
    <mergeCell ref="A26:B26"/>
    <mergeCell ref="A27:B27"/>
    <mergeCell ref="A28:B28"/>
    <mergeCell ref="A29:B29"/>
    <mergeCell ref="A30:B30"/>
    <mergeCell ref="D38:E38"/>
    <mergeCell ref="D39:F39"/>
    <mergeCell ref="G39:I39"/>
    <mergeCell ref="D40:E40"/>
    <mergeCell ref="G40:H40"/>
    <mergeCell ref="D41:E41"/>
    <mergeCell ref="G41:H41"/>
    <mergeCell ref="D23:E23"/>
    <mergeCell ref="D24:E24"/>
    <mergeCell ref="D25:E25"/>
    <mergeCell ref="D26:F36"/>
    <mergeCell ref="D37:E37"/>
    <mergeCell ref="G37:H37"/>
    <mergeCell ref="G38:H38"/>
  </mergeCells>
  <dataValidations>
    <dataValidation type="list" allowBlank="1" showErrorMessage="1" sqref="M10">
      <formula1>"Amortize,Flat,-"</formula1>
    </dataValidation>
    <dataValidation type="list" allowBlank="1" showErrorMessage="1" sqref="M9">
      <formula1>"Yes,No,-"</formula1>
    </dataValidation>
    <dataValidation type="list" allowBlank="1" showErrorMessage="1" sqref="J5">
      <formula1>"Buyer and Seller Closing Costs,Buyer side Closing Costs only,Buyer side and Half of Seller side Closing Costs,-"</formula1>
    </dataValidation>
    <dataValidation type="list" allowBlank="1" showErrorMessage="1" sqref="C18">
      <formula1>"Conventional,FHA,VA,-"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